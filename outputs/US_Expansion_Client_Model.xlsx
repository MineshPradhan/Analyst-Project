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aw Data" sheetId="2" state="visible" r:id="rId2"/>
    <sheet name="Ranked 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0.0"/>
    <numFmt numFmtId="167" formatCode="0.00&quot;y&quot;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b val="1"/>
      <color rgb="00FFFFFF"/>
    </font>
    <font>
      <name val="Arial"/>
    </font>
    <font>
      <color rgb="000000FF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4" fillId="3" borderId="0" pivotButton="0" quotePrefix="0" xfId="0"/>
    <xf numFmtId="0" fontId="5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2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167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Opportunity Score by State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'Ranked Model'!O1</f>
            </strRef>
          </tx>
          <spPr>
            <a:ln>
              <a:prstDash val="solid"/>
            </a:ln>
          </spPr>
          <cat>
            <numRef>
              <f>'Ranked Model'!$A$2:$A$21</f>
            </numRef>
          </cat>
          <val>
            <numRef>
              <f>'Ranked Model'!$O$2:$O$21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(0-100)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US State Expansion — Model Assumptions</t>
        </is>
      </c>
    </row>
    <row r="3">
      <c r="A3" s="2" t="inlineStr">
        <is>
          <t>Assumption</t>
        </is>
      </c>
      <c r="B3" s="2" t="inlineStr">
        <is>
          <t>Value</t>
        </is>
      </c>
    </row>
    <row r="4">
      <c r="A4" s="3" t="inlineStr">
        <is>
          <t>Weight: Market Size (population)</t>
        </is>
      </c>
      <c r="B4" s="4" t="n">
        <v>0.2</v>
      </c>
    </row>
    <row r="5">
      <c r="A5" s="3" t="inlineStr">
        <is>
          <t>Weight: Population Growth</t>
        </is>
      </c>
      <c r="B5" s="4" t="n">
        <v>0.2</v>
      </c>
    </row>
    <row r="6">
      <c r="A6" s="3" t="inlineStr">
        <is>
          <t>Weight: Median Income</t>
        </is>
      </c>
      <c r="B6" s="4" t="n">
        <v>0.15</v>
      </c>
    </row>
    <row r="7">
      <c r="A7" s="3" t="inlineStr">
        <is>
          <t>Weight: Low Competition</t>
        </is>
      </c>
      <c r="B7" s="4" t="n">
        <v>0.2</v>
      </c>
    </row>
    <row r="8">
      <c r="A8" s="3" t="inlineStr">
        <is>
          <t>Weight: Low Cost (rent+buildout)</t>
        </is>
      </c>
      <c r="B8" s="4" t="n">
        <v>0.15</v>
      </c>
    </row>
    <row r="9">
      <c r="A9" s="3" t="inlineStr">
        <is>
          <t>Weight: Low Unemployment</t>
        </is>
      </c>
      <c r="B9" s="4" t="n">
        <v>0.1</v>
      </c>
    </row>
    <row r="10">
      <c r="A10" s="3" t="inlineStr">
        <is>
          <t>Assumed Operating Margin</t>
        </is>
      </c>
      <c r="B10" s="4" t="n">
        <v>0.14</v>
      </c>
    </row>
    <row r="12">
      <c r="A12" s="5" t="inlineStr">
        <is>
          <t>Note: weights above are the editable levers. Change B4:B9 and the</t>
        </is>
      </c>
    </row>
    <row r="13">
      <c r="A13" s="5" t="inlineStr">
        <is>
          <t>Ranked Model sheet recalculates the opportunity score automatically.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5" customWidth="1" min="3" max="3"/>
    <col width="27" customWidth="1" min="4" max="4"/>
    <col width="23" customWidth="1" min="5" max="5"/>
    <col width="18" customWidth="1" min="6" max="6"/>
    <col width="24" customWidth="1" min="7" max="7"/>
    <col width="23" customWidth="1" min="8" max="8"/>
    <col width="28" customWidth="1" min="9" max="9"/>
    <col width="30" customWidth="1" min="10" max="10"/>
    <col width="19" customWidth="1" min="11" max="11"/>
  </cols>
  <sheetData>
    <row r="1">
      <c r="A1" s="6" t="inlineStr">
        <is>
          <t>State</t>
        </is>
      </c>
      <c r="B1" s="6" t="inlineStr">
        <is>
          <t>Population 2025 Millions</t>
        </is>
      </c>
      <c r="C1" s="6" t="inlineStr">
        <is>
          <t>Median Household Income</t>
        </is>
      </c>
      <c r="D1" s="6" t="inlineStr">
        <is>
          <t>Population Growth 5Yr Pct</t>
        </is>
      </c>
      <c r="E1" s="6" t="inlineStr">
        <is>
          <t>Unemployment Rate Pct</t>
        </is>
      </c>
      <c r="F1" s="6" t="inlineStr">
        <is>
          <t>Urbanization Pct</t>
        </is>
      </c>
      <c r="G1" s="6" t="inlineStr">
        <is>
          <t>Competitor Store Count</t>
        </is>
      </c>
      <c r="H1" s="6" t="inlineStr">
        <is>
          <t>Avg Competitor Rating</t>
        </is>
      </c>
      <c r="I1" s="6" t="inlineStr">
        <is>
          <t>Avg Competitor Price Index</t>
        </is>
      </c>
      <c r="J1" s="6" t="inlineStr">
        <is>
          <t>Avg Commercial Rent Per Sqft</t>
        </is>
      </c>
      <c r="K1" s="6" t="inlineStr">
        <is>
          <t>Avg Buildout Cost</t>
        </is>
      </c>
    </row>
    <row r="2">
      <c r="A2" s="7" t="inlineStr">
        <is>
          <t>Alabama</t>
        </is>
      </c>
      <c r="B2" s="7" t="n">
        <v>28.35</v>
      </c>
      <c r="C2" s="7" t="n">
        <v>88757</v>
      </c>
      <c r="D2" s="7" t="n">
        <v>2.85</v>
      </c>
      <c r="E2" s="7" t="n">
        <v>4.99</v>
      </c>
      <c r="F2" s="7" t="n">
        <v>70.40000000000001</v>
      </c>
      <c r="G2" s="7" t="n">
        <v>107</v>
      </c>
      <c r="H2" s="7" t="n">
        <v>4.64</v>
      </c>
      <c r="I2" s="7" t="n">
        <v>0.98</v>
      </c>
      <c r="J2" s="7" t="n">
        <v>23.26</v>
      </c>
      <c r="K2" s="7" t="n">
        <v>354088</v>
      </c>
    </row>
    <row r="3">
      <c r="A3" s="7" t="inlineStr">
        <is>
          <t>Arizona</t>
        </is>
      </c>
      <c r="B3" s="7" t="n">
        <v>4.08</v>
      </c>
      <c r="C3" s="7" t="n">
        <v>74531</v>
      </c>
      <c r="D3" s="7" t="n">
        <v>5.77</v>
      </c>
      <c r="E3" s="7" t="n">
        <v>6.23</v>
      </c>
      <c r="F3" s="7" t="n">
        <v>50.2</v>
      </c>
      <c r="G3" s="7" t="n">
        <v>32</v>
      </c>
      <c r="H3" s="7" t="n">
        <v>3.53</v>
      </c>
      <c r="I3" s="7" t="n">
        <v>0.93</v>
      </c>
      <c r="J3" s="7" t="n">
        <v>12.55</v>
      </c>
      <c r="K3" s="7" t="n">
        <v>313121</v>
      </c>
    </row>
    <row r="4">
      <c r="A4" s="7" t="inlineStr">
        <is>
          <t>Arkansas</t>
        </is>
      </c>
      <c r="B4" s="7" t="n">
        <v>8.369999999999999</v>
      </c>
      <c r="C4" s="7" t="n">
        <v>85065</v>
      </c>
      <c r="D4" s="7" t="n">
        <v>2.82</v>
      </c>
      <c r="E4" s="7" t="n">
        <v>5.94</v>
      </c>
      <c r="F4" s="7" t="n">
        <v>86.40000000000001</v>
      </c>
      <c r="G4" s="7" t="n">
        <v>66</v>
      </c>
      <c r="H4" s="7" t="n">
        <v>3.26</v>
      </c>
      <c r="I4" s="7" t="n">
        <v>1.14</v>
      </c>
      <c r="J4" s="7" t="n">
        <v>33.78</v>
      </c>
      <c r="K4" s="7" t="n">
        <v>362479</v>
      </c>
    </row>
    <row r="5">
      <c r="A5" s="7" t="inlineStr">
        <is>
          <t>Colorado</t>
        </is>
      </c>
      <c r="B5" s="7" t="n">
        <v>29.52</v>
      </c>
      <c r="C5" s="7" t="n">
        <v>71939</v>
      </c>
      <c r="D5" s="7" t="n">
        <v>8.720000000000001</v>
      </c>
      <c r="E5" s="7" t="n">
        <v>5.95</v>
      </c>
      <c r="F5" s="7" t="n">
        <v>87.09999999999999</v>
      </c>
      <c r="G5" s="7" t="n">
        <v>66</v>
      </c>
      <c r="H5" s="7" t="n">
        <v>4.61</v>
      </c>
      <c r="I5" s="7" t="n">
        <v>1.19</v>
      </c>
      <c r="J5" s="7" t="n">
        <v>33.29</v>
      </c>
      <c r="K5" s="7" t="n">
        <v>292893</v>
      </c>
    </row>
    <row r="6">
      <c r="A6" s="7" t="inlineStr">
        <is>
          <t>Florida</t>
        </is>
      </c>
      <c r="B6" s="7" t="n">
        <v>2.83</v>
      </c>
      <c r="C6" s="7" t="n">
        <v>88994</v>
      </c>
      <c r="D6" s="7" t="n">
        <v>8.449999999999999</v>
      </c>
      <c r="E6" s="7" t="n">
        <v>5.43</v>
      </c>
      <c r="F6" s="7" t="n">
        <v>57</v>
      </c>
      <c r="G6" s="7" t="n">
        <v>61</v>
      </c>
      <c r="H6" s="7" t="n">
        <v>3.21</v>
      </c>
      <c r="I6" s="7" t="n">
        <v>0.87</v>
      </c>
      <c r="J6" s="7" t="n">
        <v>13.35</v>
      </c>
      <c r="K6" s="7" t="n">
        <v>327443</v>
      </c>
    </row>
    <row r="7">
      <c r="A7" s="7" t="inlineStr">
        <is>
          <t>Georgia</t>
        </is>
      </c>
      <c r="B7" s="7" t="n">
        <v>29.25</v>
      </c>
      <c r="C7" s="7" t="n">
        <v>62541</v>
      </c>
      <c r="D7" s="7" t="n">
        <v>3.25</v>
      </c>
      <c r="E7" s="7" t="n">
        <v>5.72</v>
      </c>
      <c r="F7" s="7" t="n">
        <v>46.9</v>
      </c>
      <c r="G7" s="7" t="n">
        <v>10</v>
      </c>
      <c r="H7" s="7" t="n">
        <v>3.97</v>
      </c>
      <c r="I7" s="7" t="n">
        <v>0.95</v>
      </c>
      <c r="J7" s="7" t="n">
        <v>31.5</v>
      </c>
      <c r="K7" s="7" t="n">
        <v>388443</v>
      </c>
    </row>
    <row r="8">
      <c r="A8" s="7" t="inlineStr">
        <is>
          <t>Idaho</t>
        </is>
      </c>
      <c r="B8" s="7" t="n">
        <v>1.96</v>
      </c>
      <c r="C8" s="7" t="n">
        <v>53675</v>
      </c>
      <c r="D8" s="7" t="n">
        <v>4.5</v>
      </c>
      <c r="E8" s="7" t="n">
        <v>4.22</v>
      </c>
      <c r="F8" s="7" t="n">
        <v>73.09999999999999</v>
      </c>
      <c r="G8" s="7" t="n">
        <v>5</v>
      </c>
      <c r="H8" s="7" t="n">
        <v>3.65</v>
      </c>
      <c r="I8" s="7" t="n">
        <v>1.04</v>
      </c>
      <c r="J8" s="7" t="n">
        <v>40.95</v>
      </c>
      <c r="K8" s="7" t="n">
        <v>353714</v>
      </c>
    </row>
    <row r="9">
      <c r="A9" s="7" t="inlineStr">
        <is>
          <t>Indiana</t>
        </is>
      </c>
      <c r="B9" s="7" t="n">
        <v>14.34</v>
      </c>
      <c r="C9" s="7" t="n">
        <v>91573</v>
      </c>
      <c r="D9" s="7" t="n">
        <v>6.89</v>
      </c>
      <c r="E9" s="7" t="n">
        <v>5.27</v>
      </c>
      <c r="F9" s="7" t="n">
        <v>51.5</v>
      </c>
      <c r="G9" s="7" t="n">
        <v>96</v>
      </c>
      <c r="H9" s="7" t="n">
        <v>3.75</v>
      </c>
      <c r="I9" s="7" t="n">
        <v>0.93</v>
      </c>
      <c r="J9" s="7" t="n">
        <v>42.91</v>
      </c>
      <c r="K9" s="7" t="n">
        <v>372506</v>
      </c>
    </row>
    <row r="10">
      <c r="A10" s="7" t="inlineStr">
        <is>
          <t>Kansas</t>
        </is>
      </c>
      <c r="B10" s="7" t="n">
        <v>8.08</v>
      </c>
      <c r="C10" s="7" t="n">
        <v>48161</v>
      </c>
      <c r="D10" s="7" t="n">
        <v>4.13</v>
      </c>
      <c r="E10" s="7" t="n">
        <v>6.4</v>
      </c>
      <c r="F10" s="7" t="n">
        <v>77.7</v>
      </c>
      <c r="G10" s="7" t="n">
        <v>31</v>
      </c>
      <c r="H10" s="7" t="n">
        <v>3.63</v>
      </c>
      <c r="I10" s="7" t="n">
        <v>0.88</v>
      </c>
      <c r="J10" s="7" t="n">
        <v>20.51</v>
      </c>
      <c r="K10" s="7" t="n">
        <v>195151</v>
      </c>
    </row>
    <row r="11">
      <c r="A11" s="7" t="inlineStr">
        <is>
          <t>Kentucky</t>
        </is>
      </c>
      <c r="B11" s="7" t="n">
        <v>17.55</v>
      </c>
      <c r="C11" s="7" t="n">
        <v>57692</v>
      </c>
      <c r="D11" s="7" t="n">
        <v>1.15</v>
      </c>
      <c r="E11" s="7" t="n">
        <v>3.82</v>
      </c>
      <c r="F11" s="7" t="n">
        <v>54.5</v>
      </c>
      <c r="G11" s="7" t="n">
        <v>66</v>
      </c>
      <c r="H11" s="7" t="n">
        <v>3.58</v>
      </c>
      <c r="I11" s="7" t="n">
        <v>1.07</v>
      </c>
      <c r="J11" s="7" t="n">
        <v>15.74</v>
      </c>
      <c r="K11" s="7" t="n">
        <v>187400</v>
      </c>
    </row>
    <row r="12">
      <c r="A12" s="7" t="inlineStr">
        <is>
          <t>Missouri</t>
        </is>
      </c>
      <c r="B12" s="7" t="n">
        <v>1.88</v>
      </c>
      <c r="C12" s="7" t="n">
        <v>61417</v>
      </c>
      <c r="D12" s="7" t="n">
        <v>2.59</v>
      </c>
      <c r="E12" s="7" t="n">
        <v>5.26</v>
      </c>
      <c r="F12" s="7" t="n">
        <v>73.40000000000001</v>
      </c>
      <c r="G12" s="7" t="n">
        <v>93</v>
      </c>
      <c r="H12" s="7" t="n">
        <v>4.66</v>
      </c>
      <c r="I12" s="7" t="n">
        <v>1.1</v>
      </c>
      <c r="J12" s="7" t="n">
        <v>16.54</v>
      </c>
      <c r="K12" s="7" t="n">
        <v>383766</v>
      </c>
    </row>
    <row r="13">
      <c r="A13" s="7" t="inlineStr">
        <is>
          <t>Nevada</t>
        </is>
      </c>
      <c r="B13" s="7" t="n">
        <v>26.01</v>
      </c>
      <c r="C13" s="7" t="n">
        <v>49021</v>
      </c>
      <c r="D13" s="7" t="n">
        <v>6.63</v>
      </c>
      <c r="E13" s="7" t="n">
        <v>3.15</v>
      </c>
      <c r="F13" s="7" t="n">
        <v>71.5</v>
      </c>
      <c r="G13" s="7" t="n">
        <v>66</v>
      </c>
      <c r="H13" s="7" t="n">
        <v>3.98</v>
      </c>
      <c r="I13" s="7" t="n">
        <v>1.09</v>
      </c>
      <c r="J13" s="7" t="n">
        <v>34.8</v>
      </c>
      <c r="K13" s="7" t="n">
        <v>297796</v>
      </c>
    </row>
    <row r="14">
      <c r="A14" s="7" t="inlineStr">
        <is>
          <t>New Mexico</t>
        </is>
      </c>
      <c r="B14" s="7" t="n">
        <v>20.97</v>
      </c>
      <c r="C14" s="7" t="n">
        <v>74557</v>
      </c>
      <c r="D14" s="7" t="n">
        <v>-0.82</v>
      </c>
      <c r="E14" s="7" t="n">
        <v>5.47</v>
      </c>
      <c r="F14" s="7" t="n">
        <v>74.3</v>
      </c>
      <c r="G14" s="7" t="n">
        <v>81</v>
      </c>
      <c r="H14" s="7" t="n">
        <v>4.11</v>
      </c>
      <c r="I14" s="7" t="n">
        <v>0.96</v>
      </c>
      <c r="J14" s="7" t="n">
        <v>38.97</v>
      </c>
      <c r="K14" s="7" t="n">
        <v>246690</v>
      </c>
    </row>
    <row r="15">
      <c r="A15" s="7" t="inlineStr">
        <is>
          <t>North Carolina</t>
        </is>
      </c>
      <c r="B15" s="7" t="n">
        <v>8.130000000000001</v>
      </c>
      <c r="C15" s="7" t="n">
        <v>83920</v>
      </c>
      <c r="D15" s="7" t="n">
        <v>6.42</v>
      </c>
      <c r="E15" s="7" t="n">
        <v>5.04</v>
      </c>
      <c r="F15" s="7" t="n">
        <v>78.40000000000001</v>
      </c>
      <c r="G15" s="7" t="n">
        <v>32</v>
      </c>
      <c r="H15" s="7" t="n">
        <v>3.75</v>
      </c>
      <c r="I15" s="7" t="n">
        <v>1.17</v>
      </c>
      <c r="J15" s="7" t="n">
        <v>34.36</v>
      </c>
      <c r="K15" s="7" t="n">
        <v>291472</v>
      </c>
    </row>
    <row r="16">
      <c r="A16" s="7" t="inlineStr">
        <is>
          <t>Ohio</t>
        </is>
      </c>
      <c r="B16" s="7" t="n">
        <v>12.4</v>
      </c>
      <c r="C16" s="7" t="n">
        <v>51943</v>
      </c>
      <c r="D16" s="7" t="n">
        <v>9.98</v>
      </c>
      <c r="E16" s="7" t="n">
        <v>6.19</v>
      </c>
      <c r="F16" s="7" t="n">
        <v>54.5</v>
      </c>
      <c r="G16" s="7" t="n">
        <v>48</v>
      </c>
      <c r="H16" s="7" t="n">
        <v>3.71</v>
      </c>
      <c r="I16" s="7" t="n">
        <v>1.02</v>
      </c>
      <c r="J16" s="7" t="n">
        <v>19.47</v>
      </c>
      <c r="K16" s="7" t="n">
        <v>283727</v>
      </c>
    </row>
    <row r="17">
      <c r="A17" s="7" t="inlineStr">
        <is>
          <t>Oklahoma</t>
        </is>
      </c>
      <c r="B17" s="7" t="n">
        <v>12.48</v>
      </c>
      <c r="C17" s="7" t="n">
        <v>54873</v>
      </c>
      <c r="D17" s="7" t="n">
        <v>-0.8</v>
      </c>
      <c r="E17" s="7" t="n">
        <v>4.88</v>
      </c>
      <c r="F17" s="7" t="n">
        <v>89.3</v>
      </c>
      <c r="G17" s="7" t="n">
        <v>101</v>
      </c>
      <c r="H17" s="7" t="n">
        <v>3.95</v>
      </c>
      <c r="I17" s="7" t="n">
        <v>1.07</v>
      </c>
      <c r="J17" s="7" t="n">
        <v>42.51</v>
      </c>
      <c r="K17" s="7" t="n">
        <v>297858</v>
      </c>
    </row>
    <row r="18">
      <c r="A18" s="7" t="inlineStr">
        <is>
          <t>South Carolina</t>
        </is>
      </c>
      <c r="B18" s="7" t="n">
        <v>14.8</v>
      </c>
      <c r="C18" s="7" t="n">
        <v>67457</v>
      </c>
      <c r="D18" s="7" t="n">
        <v>6.02</v>
      </c>
      <c r="E18" s="7" t="n">
        <v>4.46</v>
      </c>
      <c r="F18" s="7" t="n">
        <v>67.3</v>
      </c>
      <c r="G18" s="7" t="n">
        <v>34</v>
      </c>
      <c r="H18" s="7" t="n">
        <v>3.68</v>
      </c>
      <c r="I18" s="7" t="n">
        <v>0.93</v>
      </c>
      <c r="J18" s="7" t="n">
        <v>17.75</v>
      </c>
      <c r="K18" s="7" t="n">
        <v>200932</v>
      </c>
    </row>
    <row r="19">
      <c r="A19" s="7" t="inlineStr">
        <is>
          <t>Tennessee</t>
        </is>
      </c>
      <c r="B19" s="7" t="n">
        <v>19.12</v>
      </c>
      <c r="C19" s="7" t="n">
        <v>49585</v>
      </c>
      <c r="D19" s="7" t="n">
        <v>11.5</v>
      </c>
      <c r="E19" s="7" t="n">
        <v>5.21</v>
      </c>
      <c r="F19" s="7" t="n">
        <v>65.59999999999999</v>
      </c>
      <c r="G19" s="7" t="n">
        <v>112</v>
      </c>
      <c r="H19" s="7" t="n">
        <v>3.38</v>
      </c>
      <c r="I19" s="7" t="n">
        <v>0.9</v>
      </c>
      <c r="J19" s="7" t="n">
        <v>28.9</v>
      </c>
      <c r="K19" s="7" t="n">
        <v>342688</v>
      </c>
    </row>
    <row r="20">
      <c r="A20" s="7" t="inlineStr">
        <is>
          <t>Texas</t>
        </is>
      </c>
      <c r="B20" s="7" t="n">
        <v>12.9</v>
      </c>
      <c r="C20" s="7" t="n">
        <v>65159</v>
      </c>
      <c r="D20" s="7" t="n">
        <v>11.05</v>
      </c>
      <c r="E20" s="7" t="n">
        <v>3.54</v>
      </c>
      <c r="F20" s="7" t="n">
        <v>56.1</v>
      </c>
      <c r="G20" s="7" t="n">
        <v>66</v>
      </c>
      <c r="H20" s="7" t="n">
        <v>4.49</v>
      </c>
      <c r="I20" s="7" t="n">
        <v>1.03</v>
      </c>
      <c r="J20" s="7" t="n">
        <v>18.16</v>
      </c>
      <c r="K20" s="7" t="n">
        <v>287512</v>
      </c>
    </row>
    <row r="21">
      <c r="A21" s="7" t="inlineStr">
        <is>
          <t>Utah</t>
        </is>
      </c>
      <c r="B21" s="7" t="n">
        <v>20.89</v>
      </c>
      <c r="C21" s="7" t="n">
        <v>59653</v>
      </c>
      <c r="D21" s="7" t="n">
        <v>11.55</v>
      </c>
      <c r="E21" s="7" t="n">
        <v>4.17</v>
      </c>
      <c r="F21" s="7" t="n">
        <v>77.7</v>
      </c>
      <c r="G21" s="7" t="n">
        <v>79</v>
      </c>
      <c r="H21" s="7" t="n">
        <v>4.25</v>
      </c>
      <c r="I21" s="7" t="n">
        <v>1.12</v>
      </c>
      <c r="J21" s="7" t="n">
        <v>24.76</v>
      </c>
      <c r="K21" s="7" t="n">
        <v>209855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0" customWidth="1" min="19" max="19"/>
  </cols>
  <sheetData>
    <row r="1">
      <c r="A1" s="6" t="inlineStr">
        <is>
          <t>State</t>
        </is>
      </c>
      <c r="B1" s="6" t="inlineStr">
        <is>
          <t>Population (mm)</t>
        </is>
      </c>
      <c r="C1" s="6" t="inlineStr">
        <is>
          <t>Pop Growth %</t>
        </is>
      </c>
      <c r="D1" s="6" t="inlineStr">
        <is>
          <t>Median Income</t>
        </is>
      </c>
      <c r="E1" s="6" t="inlineStr">
        <is>
          <t>Unemployment %</t>
        </is>
      </c>
      <c r="F1" s="6" t="inlineStr">
        <is>
          <t>Competitor Stores</t>
        </is>
      </c>
      <c r="G1" s="6" t="inlineStr">
        <is>
          <t>Rent/SqFt</t>
        </is>
      </c>
      <c r="H1" s="6" t="inlineStr">
        <is>
          <t>Buildout Cost</t>
        </is>
      </c>
      <c r="I1" s="6" t="inlineStr">
        <is>
          <t>Score: Size</t>
        </is>
      </c>
      <c r="J1" s="6" t="inlineStr">
        <is>
          <t>Score: Growth</t>
        </is>
      </c>
      <c r="K1" s="6" t="inlineStr">
        <is>
          <t>Score: Income</t>
        </is>
      </c>
      <c r="L1" s="6" t="inlineStr">
        <is>
          <t>Score: Low Comp</t>
        </is>
      </c>
      <c r="M1" s="6" t="inlineStr">
        <is>
          <t>Score: Low Cost</t>
        </is>
      </c>
      <c r="N1" s="6" t="inlineStr">
        <is>
          <t>Score: Low Unemp</t>
        </is>
      </c>
      <c r="O1" s="6" t="inlineStr">
        <is>
          <t>Opportunity Score</t>
        </is>
      </c>
      <c r="P1" s="6" t="inlineStr">
        <is>
          <t>Predicted Revenue/Store</t>
        </is>
      </c>
      <c r="Q1" s="6" t="inlineStr">
        <is>
          <t>Est. Annual Profit/Store</t>
        </is>
      </c>
      <c r="R1" s="6" t="inlineStr">
        <is>
          <t>Payback (Years)</t>
        </is>
      </c>
      <c r="S1" s="6" t="inlineStr">
        <is>
          <t>Cost Index (helper)</t>
        </is>
      </c>
    </row>
    <row r="2">
      <c r="A2" s="7">
        <f>'Raw Data'!A2</f>
        <v/>
      </c>
      <c r="B2" s="8">
        <f>'Raw Data'!B2</f>
        <v/>
      </c>
      <c r="C2" s="9">
        <f>'Raw Data'!D2</f>
        <v/>
      </c>
      <c r="D2" s="10">
        <f>'Raw Data'!C2</f>
        <v/>
      </c>
      <c r="E2" s="9">
        <f>'Raw Data'!E2</f>
        <v/>
      </c>
      <c r="F2" s="7">
        <f>'Raw Data'!G2</f>
        <v/>
      </c>
      <c r="G2" s="7">
        <f>'Raw Data'!J2</f>
        <v/>
      </c>
      <c r="H2" s="7">
        <f>'Raw Data'!K2</f>
        <v/>
      </c>
      <c r="I2" s="8">
        <f>(B2-MIN(B$2:B$21))/(MAX(B$2:B$21)-MIN(B$2:B$21))</f>
        <v/>
      </c>
      <c r="J2" s="8">
        <f>(C2-MIN(C$2:C$21))/(MAX(C$2:C$21)-MIN(C$2:C$21))</f>
        <v/>
      </c>
      <c r="K2" s="8">
        <f>(D2-MIN(D$2:D$21))/(MAX(D$2:D$21)-MIN(D$2:D$21))</f>
        <v/>
      </c>
      <c r="L2" s="8">
        <f>1-(F2-MIN(F$2:F$21))/(MAX(F$2:F$21)-MIN(F$2:F$21))</f>
        <v/>
      </c>
      <c r="M2" s="8">
        <f>1-(S2-MIN(S$2:S$21))/(MAX(S$2:S$21)-MIN(S$2:S$21))</f>
        <v/>
      </c>
      <c r="N2" s="8">
        <f>1-(E2-MIN(E$2:E$21))/(MAX(E$2:E$21)-MIN(E$2:E$21))</f>
        <v/>
      </c>
      <c r="O2" s="11">
        <f>(I2*Assumptions!$B$4+J2*Assumptions!$B$5+K2*Assumptions!$B$6+L2*Assumptions!$B$7+M2*Assumptions!$B$8+N2*Assumptions!$B$9)*100</f>
        <v/>
      </c>
      <c r="P2" s="10">
        <f>800000+(B2*15000)+(C2*8000)+(D2*6)-(F2*900)</f>
        <v/>
      </c>
      <c r="Q2" s="10">
        <f>P2*Assumptions!$B$10</f>
        <v/>
      </c>
      <c r="R2" s="12">
        <f>H2/Q2</f>
        <v/>
      </c>
      <c r="S2" s="7">
        <f>G2+H2/1000</f>
        <v/>
      </c>
    </row>
    <row r="3">
      <c r="A3" s="7">
        <f>'Raw Data'!A3</f>
        <v/>
      </c>
      <c r="B3" s="8">
        <f>'Raw Data'!B3</f>
        <v/>
      </c>
      <c r="C3" s="9">
        <f>'Raw Data'!D3</f>
        <v/>
      </c>
      <c r="D3" s="10">
        <f>'Raw Data'!C3</f>
        <v/>
      </c>
      <c r="E3" s="9">
        <f>'Raw Data'!E3</f>
        <v/>
      </c>
      <c r="F3" s="7">
        <f>'Raw Data'!G3</f>
        <v/>
      </c>
      <c r="G3" s="7">
        <f>'Raw Data'!J3</f>
        <v/>
      </c>
      <c r="H3" s="7">
        <f>'Raw Data'!K3</f>
        <v/>
      </c>
      <c r="I3" s="8">
        <f>(B3-MIN(B$2:B$21))/(MAX(B$2:B$21)-MIN(B$2:B$21))</f>
        <v/>
      </c>
      <c r="J3" s="8">
        <f>(C3-MIN(C$2:C$21))/(MAX(C$2:C$21)-MIN(C$2:C$21))</f>
        <v/>
      </c>
      <c r="K3" s="8">
        <f>(D3-MIN(D$2:D$21))/(MAX(D$2:D$21)-MIN(D$2:D$21))</f>
        <v/>
      </c>
      <c r="L3" s="8">
        <f>1-(F3-MIN(F$2:F$21))/(MAX(F$2:F$21)-MIN(F$2:F$21))</f>
        <v/>
      </c>
      <c r="M3" s="8">
        <f>1-(S3-MIN(S$2:S$21))/(MAX(S$2:S$21)-MIN(S$2:S$21))</f>
        <v/>
      </c>
      <c r="N3" s="8">
        <f>1-(E3-MIN(E$2:E$21))/(MAX(E$2:E$21)-MIN(E$2:E$21))</f>
        <v/>
      </c>
      <c r="O3" s="11">
        <f>(I3*Assumptions!$B$4+J3*Assumptions!$B$5+K3*Assumptions!$B$6+L3*Assumptions!$B$7+M3*Assumptions!$B$8+N3*Assumptions!$B$9)*100</f>
        <v/>
      </c>
      <c r="P3" s="10">
        <f>800000+(B3*15000)+(C3*8000)+(D3*6)-(F3*900)</f>
        <v/>
      </c>
      <c r="Q3" s="10">
        <f>P3*Assumptions!$B$10</f>
        <v/>
      </c>
      <c r="R3" s="12">
        <f>H3/Q3</f>
        <v/>
      </c>
      <c r="S3" s="7">
        <f>G3+H3/1000</f>
        <v/>
      </c>
    </row>
    <row r="4">
      <c r="A4" s="7">
        <f>'Raw Data'!A4</f>
        <v/>
      </c>
      <c r="B4" s="8">
        <f>'Raw Data'!B4</f>
        <v/>
      </c>
      <c r="C4" s="9">
        <f>'Raw Data'!D4</f>
        <v/>
      </c>
      <c r="D4" s="10">
        <f>'Raw Data'!C4</f>
        <v/>
      </c>
      <c r="E4" s="9">
        <f>'Raw Data'!E4</f>
        <v/>
      </c>
      <c r="F4" s="7">
        <f>'Raw Data'!G4</f>
        <v/>
      </c>
      <c r="G4" s="7">
        <f>'Raw Data'!J4</f>
        <v/>
      </c>
      <c r="H4" s="7">
        <f>'Raw Data'!K4</f>
        <v/>
      </c>
      <c r="I4" s="8">
        <f>(B4-MIN(B$2:B$21))/(MAX(B$2:B$21)-MIN(B$2:B$21))</f>
        <v/>
      </c>
      <c r="J4" s="8">
        <f>(C4-MIN(C$2:C$21))/(MAX(C$2:C$21)-MIN(C$2:C$21))</f>
        <v/>
      </c>
      <c r="K4" s="8">
        <f>(D4-MIN(D$2:D$21))/(MAX(D$2:D$21)-MIN(D$2:D$21))</f>
        <v/>
      </c>
      <c r="L4" s="8">
        <f>1-(F4-MIN(F$2:F$21))/(MAX(F$2:F$21)-MIN(F$2:F$21))</f>
        <v/>
      </c>
      <c r="M4" s="8">
        <f>1-(S4-MIN(S$2:S$21))/(MAX(S$2:S$21)-MIN(S$2:S$21))</f>
        <v/>
      </c>
      <c r="N4" s="8">
        <f>1-(E4-MIN(E$2:E$21))/(MAX(E$2:E$21)-MIN(E$2:E$21))</f>
        <v/>
      </c>
      <c r="O4" s="11">
        <f>(I4*Assumptions!$B$4+J4*Assumptions!$B$5+K4*Assumptions!$B$6+L4*Assumptions!$B$7+M4*Assumptions!$B$8+N4*Assumptions!$B$9)*100</f>
        <v/>
      </c>
      <c r="P4" s="10">
        <f>800000+(B4*15000)+(C4*8000)+(D4*6)-(F4*900)</f>
        <v/>
      </c>
      <c r="Q4" s="10">
        <f>P4*Assumptions!$B$10</f>
        <v/>
      </c>
      <c r="R4" s="12">
        <f>H4/Q4</f>
        <v/>
      </c>
      <c r="S4" s="7">
        <f>G4+H4/1000</f>
        <v/>
      </c>
    </row>
    <row r="5">
      <c r="A5" s="7">
        <f>'Raw Data'!A5</f>
        <v/>
      </c>
      <c r="B5" s="8">
        <f>'Raw Data'!B5</f>
        <v/>
      </c>
      <c r="C5" s="9">
        <f>'Raw Data'!D5</f>
        <v/>
      </c>
      <c r="D5" s="10">
        <f>'Raw Data'!C5</f>
        <v/>
      </c>
      <c r="E5" s="9">
        <f>'Raw Data'!E5</f>
        <v/>
      </c>
      <c r="F5" s="7">
        <f>'Raw Data'!G5</f>
        <v/>
      </c>
      <c r="G5" s="7">
        <f>'Raw Data'!J5</f>
        <v/>
      </c>
      <c r="H5" s="7">
        <f>'Raw Data'!K5</f>
        <v/>
      </c>
      <c r="I5" s="8">
        <f>(B5-MIN(B$2:B$21))/(MAX(B$2:B$21)-MIN(B$2:B$21))</f>
        <v/>
      </c>
      <c r="J5" s="8">
        <f>(C5-MIN(C$2:C$21))/(MAX(C$2:C$21)-MIN(C$2:C$21))</f>
        <v/>
      </c>
      <c r="K5" s="8">
        <f>(D5-MIN(D$2:D$21))/(MAX(D$2:D$21)-MIN(D$2:D$21))</f>
        <v/>
      </c>
      <c r="L5" s="8">
        <f>1-(F5-MIN(F$2:F$21))/(MAX(F$2:F$21)-MIN(F$2:F$21))</f>
        <v/>
      </c>
      <c r="M5" s="8">
        <f>1-(S5-MIN(S$2:S$21))/(MAX(S$2:S$21)-MIN(S$2:S$21))</f>
        <v/>
      </c>
      <c r="N5" s="8">
        <f>1-(E5-MIN(E$2:E$21))/(MAX(E$2:E$21)-MIN(E$2:E$21))</f>
        <v/>
      </c>
      <c r="O5" s="11">
        <f>(I5*Assumptions!$B$4+J5*Assumptions!$B$5+K5*Assumptions!$B$6+L5*Assumptions!$B$7+M5*Assumptions!$B$8+N5*Assumptions!$B$9)*100</f>
        <v/>
      </c>
      <c r="P5" s="10">
        <f>800000+(B5*15000)+(C5*8000)+(D5*6)-(F5*900)</f>
        <v/>
      </c>
      <c r="Q5" s="10">
        <f>P5*Assumptions!$B$10</f>
        <v/>
      </c>
      <c r="R5" s="12">
        <f>H5/Q5</f>
        <v/>
      </c>
      <c r="S5" s="7">
        <f>G5+H5/1000</f>
        <v/>
      </c>
    </row>
    <row r="6">
      <c r="A6" s="7">
        <f>'Raw Data'!A6</f>
        <v/>
      </c>
      <c r="B6" s="8">
        <f>'Raw Data'!B6</f>
        <v/>
      </c>
      <c r="C6" s="9">
        <f>'Raw Data'!D6</f>
        <v/>
      </c>
      <c r="D6" s="10">
        <f>'Raw Data'!C6</f>
        <v/>
      </c>
      <c r="E6" s="9">
        <f>'Raw Data'!E6</f>
        <v/>
      </c>
      <c r="F6" s="7">
        <f>'Raw Data'!G6</f>
        <v/>
      </c>
      <c r="G6" s="7">
        <f>'Raw Data'!J6</f>
        <v/>
      </c>
      <c r="H6" s="7">
        <f>'Raw Data'!K6</f>
        <v/>
      </c>
      <c r="I6" s="8">
        <f>(B6-MIN(B$2:B$21))/(MAX(B$2:B$21)-MIN(B$2:B$21))</f>
        <v/>
      </c>
      <c r="J6" s="8">
        <f>(C6-MIN(C$2:C$21))/(MAX(C$2:C$21)-MIN(C$2:C$21))</f>
        <v/>
      </c>
      <c r="K6" s="8">
        <f>(D6-MIN(D$2:D$21))/(MAX(D$2:D$21)-MIN(D$2:D$21))</f>
        <v/>
      </c>
      <c r="L6" s="8">
        <f>1-(F6-MIN(F$2:F$21))/(MAX(F$2:F$21)-MIN(F$2:F$21))</f>
        <v/>
      </c>
      <c r="M6" s="8">
        <f>1-(S6-MIN(S$2:S$21))/(MAX(S$2:S$21)-MIN(S$2:S$21))</f>
        <v/>
      </c>
      <c r="N6" s="8">
        <f>1-(E6-MIN(E$2:E$21))/(MAX(E$2:E$21)-MIN(E$2:E$21))</f>
        <v/>
      </c>
      <c r="O6" s="11">
        <f>(I6*Assumptions!$B$4+J6*Assumptions!$B$5+K6*Assumptions!$B$6+L6*Assumptions!$B$7+M6*Assumptions!$B$8+N6*Assumptions!$B$9)*100</f>
        <v/>
      </c>
      <c r="P6" s="10">
        <f>800000+(B6*15000)+(C6*8000)+(D6*6)-(F6*900)</f>
        <v/>
      </c>
      <c r="Q6" s="10">
        <f>P6*Assumptions!$B$10</f>
        <v/>
      </c>
      <c r="R6" s="12">
        <f>H6/Q6</f>
        <v/>
      </c>
      <c r="S6" s="7">
        <f>G6+H6/1000</f>
        <v/>
      </c>
    </row>
    <row r="7">
      <c r="A7" s="7">
        <f>'Raw Data'!A7</f>
        <v/>
      </c>
      <c r="B7" s="8">
        <f>'Raw Data'!B7</f>
        <v/>
      </c>
      <c r="C7" s="9">
        <f>'Raw Data'!D7</f>
        <v/>
      </c>
      <c r="D7" s="10">
        <f>'Raw Data'!C7</f>
        <v/>
      </c>
      <c r="E7" s="9">
        <f>'Raw Data'!E7</f>
        <v/>
      </c>
      <c r="F7" s="7">
        <f>'Raw Data'!G7</f>
        <v/>
      </c>
      <c r="G7" s="7">
        <f>'Raw Data'!J7</f>
        <v/>
      </c>
      <c r="H7" s="7">
        <f>'Raw Data'!K7</f>
        <v/>
      </c>
      <c r="I7" s="8">
        <f>(B7-MIN(B$2:B$21))/(MAX(B$2:B$21)-MIN(B$2:B$21))</f>
        <v/>
      </c>
      <c r="J7" s="8">
        <f>(C7-MIN(C$2:C$21))/(MAX(C$2:C$21)-MIN(C$2:C$21))</f>
        <v/>
      </c>
      <c r="K7" s="8">
        <f>(D7-MIN(D$2:D$21))/(MAX(D$2:D$21)-MIN(D$2:D$21))</f>
        <v/>
      </c>
      <c r="L7" s="8">
        <f>1-(F7-MIN(F$2:F$21))/(MAX(F$2:F$21)-MIN(F$2:F$21))</f>
        <v/>
      </c>
      <c r="M7" s="8">
        <f>1-(S7-MIN(S$2:S$21))/(MAX(S$2:S$21)-MIN(S$2:S$21))</f>
        <v/>
      </c>
      <c r="N7" s="8">
        <f>1-(E7-MIN(E$2:E$21))/(MAX(E$2:E$21)-MIN(E$2:E$21))</f>
        <v/>
      </c>
      <c r="O7" s="11">
        <f>(I7*Assumptions!$B$4+J7*Assumptions!$B$5+K7*Assumptions!$B$6+L7*Assumptions!$B$7+M7*Assumptions!$B$8+N7*Assumptions!$B$9)*100</f>
        <v/>
      </c>
      <c r="P7" s="10">
        <f>800000+(B7*15000)+(C7*8000)+(D7*6)-(F7*900)</f>
        <v/>
      </c>
      <c r="Q7" s="10">
        <f>P7*Assumptions!$B$10</f>
        <v/>
      </c>
      <c r="R7" s="12">
        <f>H7/Q7</f>
        <v/>
      </c>
      <c r="S7" s="7">
        <f>G7+H7/1000</f>
        <v/>
      </c>
    </row>
    <row r="8">
      <c r="A8" s="7">
        <f>'Raw Data'!A8</f>
        <v/>
      </c>
      <c r="B8" s="8">
        <f>'Raw Data'!B8</f>
        <v/>
      </c>
      <c r="C8" s="9">
        <f>'Raw Data'!D8</f>
        <v/>
      </c>
      <c r="D8" s="10">
        <f>'Raw Data'!C8</f>
        <v/>
      </c>
      <c r="E8" s="9">
        <f>'Raw Data'!E8</f>
        <v/>
      </c>
      <c r="F8" s="7">
        <f>'Raw Data'!G8</f>
        <v/>
      </c>
      <c r="G8" s="7">
        <f>'Raw Data'!J8</f>
        <v/>
      </c>
      <c r="H8" s="7">
        <f>'Raw Data'!K8</f>
        <v/>
      </c>
      <c r="I8" s="8">
        <f>(B8-MIN(B$2:B$21))/(MAX(B$2:B$21)-MIN(B$2:B$21))</f>
        <v/>
      </c>
      <c r="J8" s="8">
        <f>(C8-MIN(C$2:C$21))/(MAX(C$2:C$21)-MIN(C$2:C$21))</f>
        <v/>
      </c>
      <c r="K8" s="8">
        <f>(D8-MIN(D$2:D$21))/(MAX(D$2:D$21)-MIN(D$2:D$21))</f>
        <v/>
      </c>
      <c r="L8" s="8">
        <f>1-(F8-MIN(F$2:F$21))/(MAX(F$2:F$21)-MIN(F$2:F$21))</f>
        <v/>
      </c>
      <c r="M8" s="8">
        <f>1-(S8-MIN(S$2:S$21))/(MAX(S$2:S$21)-MIN(S$2:S$21))</f>
        <v/>
      </c>
      <c r="N8" s="8">
        <f>1-(E8-MIN(E$2:E$21))/(MAX(E$2:E$21)-MIN(E$2:E$21))</f>
        <v/>
      </c>
      <c r="O8" s="11">
        <f>(I8*Assumptions!$B$4+J8*Assumptions!$B$5+K8*Assumptions!$B$6+L8*Assumptions!$B$7+M8*Assumptions!$B$8+N8*Assumptions!$B$9)*100</f>
        <v/>
      </c>
      <c r="P8" s="10">
        <f>800000+(B8*15000)+(C8*8000)+(D8*6)-(F8*900)</f>
        <v/>
      </c>
      <c r="Q8" s="10">
        <f>P8*Assumptions!$B$10</f>
        <v/>
      </c>
      <c r="R8" s="12">
        <f>H8/Q8</f>
        <v/>
      </c>
      <c r="S8" s="7">
        <f>G8+H8/1000</f>
        <v/>
      </c>
    </row>
    <row r="9">
      <c r="A9" s="7">
        <f>'Raw Data'!A9</f>
        <v/>
      </c>
      <c r="B9" s="8">
        <f>'Raw Data'!B9</f>
        <v/>
      </c>
      <c r="C9" s="9">
        <f>'Raw Data'!D9</f>
        <v/>
      </c>
      <c r="D9" s="10">
        <f>'Raw Data'!C9</f>
        <v/>
      </c>
      <c r="E9" s="9">
        <f>'Raw Data'!E9</f>
        <v/>
      </c>
      <c r="F9" s="7">
        <f>'Raw Data'!G9</f>
        <v/>
      </c>
      <c r="G9" s="7">
        <f>'Raw Data'!J9</f>
        <v/>
      </c>
      <c r="H9" s="7">
        <f>'Raw Data'!K9</f>
        <v/>
      </c>
      <c r="I9" s="8">
        <f>(B9-MIN(B$2:B$21))/(MAX(B$2:B$21)-MIN(B$2:B$21))</f>
        <v/>
      </c>
      <c r="J9" s="8">
        <f>(C9-MIN(C$2:C$21))/(MAX(C$2:C$21)-MIN(C$2:C$21))</f>
        <v/>
      </c>
      <c r="K9" s="8">
        <f>(D9-MIN(D$2:D$21))/(MAX(D$2:D$21)-MIN(D$2:D$21))</f>
        <v/>
      </c>
      <c r="L9" s="8">
        <f>1-(F9-MIN(F$2:F$21))/(MAX(F$2:F$21)-MIN(F$2:F$21))</f>
        <v/>
      </c>
      <c r="M9" s="8">
        <f>1-(S9-MIN(S$2:S$21))/(MAX(S$2:S$21)-MIN(S$2:S$21))</f>
        <v/>
      </c>
      <c r="N9" s="8">
        <f>1-(E9-MIN(E$2:E$21))/(MAX(E$2:E$21)-MIN(E$2:E$21))</f>
        <v/>
      </c>
      <c r="O9" s="11">
        <f>(I9*Assumptions!$B$4+J9*Assumptions!$B$5+K9*Assumptions!$B$6+L9*Assumptions!$B$7+M9*Assumptions!$B$8+N9*Assumptions!$B$9)*100</f>
        <v/>
      </c>
      <c r="P9" s="10">
        <f>800000+(B9*15000)+(C9*8000)+(D9*6)-(F9*900)</f>
        <v/>
      </c>
      <c r="Q9" s="10">
        <f>P9*Assumptions!$B$10</f>
        <v/>
      </c>
      <c r="R9" s="12">
        <f>H9/Q9</f>
        <v/>
      </c>
      <c r="S9" s="7">
        <f>G9+H9/1000</f>
        <v/>
      </c>
    </row>
    <row r="10">
      <c r="A10" s="7">
        <f>'Raw Data'!A10</f>
        <v/>
      </c>
      <c r="B10" s="8">
        <f>'Raw Data'!B10</f>
        <v/>
      </c>
      <c r="C10" s="9">
        <f>'Raw Data'!D10</f>
        <v/>
      </c>
      <c r="D10" s="10">
        <f>'Raw Data'!C10</f>
        <v/>
      </c>
      <c r="E10" s="9">
        <f>'Raw Data'!E10</f>
        <v/>
      </c>
      <c r="F10" s="7">
        <f>'Raw Data'!G10</f>
        <v/>
      </c>
      <c r="G10" s="7">
        <f>'Raw Data'!J10</f>
        <v/>
      </c>
      <c r="H10" s="7">
        <f>'Raw Data'!K10</f>
        <v/>
      </c>
      <c r="I10" s="8">
        <f>(B10-MIN(B$2:B$21))/(MAX(B$2:B$21)-MIN(B$2:B$21))</f>
        <v/>
      </c>
      <c r="J10" s="8">
        <f>(C10-MIN(C$2:C$21))/(MAX(C$2:C$21)-MIN(C$2:C$21))</f>
        <v/>
      </c>
      <c r="K10" s="8">
        <f>(D10-MIN(D$2:D$21))/(MAX(D$2:D$21)-MIN(D$2:D$21))</f>
        <v/>
      </c>
      <c r="L10" s="8">
        <f>1-(F10-MIN(F$2:F$21))/(MAX(F$2:F$21)-MIN(F$2:F$21))</f>
        <v/>
      </c>
      <c r="M10" s="8">
        <f>1-(S10-MIN(S$2:S$21))/(MAX(S$2:S$21)-MIN(S$2:S$21))</f>
        <v/>
      </c>
      <c r="N10" s="8">
        <f>1-(E10-MIN(E$2:E$21))/(MAX(E$2:E$21)-MIN(E$2:E$21))</f>
        <v/>
      </c>
      <c r="O10" s="11">
        <f>(I10*Assumptions!$B$4+J10*Assumptions!$B$5+K10*Assumptions!$B$6+L10*Assumptions!$B$7+M10*Assumptions!$B$8+N10*Assumptions!$B$9)*100</f>
        <v/>
      </c>
      <c r="P10" s="10">
        <f>800000+(B10*15000)+(C10*8000)+(D10*6)-(F10*900)</f>
        <v/>
      </c>
      <c r="Q10" s="10">
        <f>P10*Assumptions!$B$10</f>
        <v/>
      </c>
      <c r="R10" s="12">
        <f>H10/Q10</f>
        <v/>
      </c>
      <c r="S10" s="7">
        <f>G10+H10/1000</f>
        <v/>
      </c>
    </row>
    <row r="11">
      <c r="A11" s="7">
        <f>'Raw Data'!A11</f>
        <v/>
      </c>
      <c r="B11" s="8">
        <f>'Raw Data'!B11</f>
        <v/>
      </c>
      <c r="C11" s="9">
        <f>'Raw Data'!D11</f>
        <v/>
      </c>
      <c r="D11" s="10">
        <f>'Raw Data'!C11</f>
        <v/>
      </c>
      <c r="E11" s="9">
        <f>'Raw Data'!E11</f>
        <v/>
      </c>
      <c r="F11" s="7">
        <f>'Raw Data'!G11</f>
        <v/>
      </c>
      <c r="G11" s="7">
        <f>'Raw Data'!J11</f>
        <v/>
      </c>
      <c r="H11" s="7">
        <f>'Raw Data'!K11</f>
        <v/>
      </c>
      <c r="I11" s="8">
        <f>(B11-MIN(B$2:B$21))/(MAX(B$2:B$21)-MIN(B$2:B$21))</f>
        <v/>
      </c>
      <c r="J11" s="8">
        <f>(C11-MIN(C$2:C$21))/(MAX(C$2:C$21)-MIN(C$2:C$21))</f>
        <v/>
      </c>
      <c r="K11" s="8">
        <f>(D11-MIN(D$2:D$21))/(MAX(D$2:D$21)-MIN(D$2:D$21))</f>
        <v/>
      </c>
      <c r="L11" s="8">
        <f>1-(F11-MIN(F$2:F$21))/(MAX(F$2:F$21)-MIN(F$2:F$21))</f>
        <v/>
      </c>
      <c r="M11" s="8">
        <f>1-(S11-MIN(S$2:S$21))/(MAX(S$2:S$21)-MIN(S$2:S$21))</f>
        <v/>
      </c>
      <c r="N11" s="8">
        <f>1-(E11-MIN(E$2:E$21))/(MAX(E$2:E$21)-MIN(E$2:E$21))</f>
        <v/>
      </c>
      <c r="O11" s="11">
        <f>(I11*Assumptions!$B$4+J11*Assumptions!$B$5+K11*Assumptions!$B$6+L11*Assumptions!$B$7+M11*Assumptions!$B$8+N11*Assumptions!$B$9)*100</f>
        <v/>
      </c>
      <c r="P11" s="10">
        <f>800000+(B11*15000)+(C11*8000)+(D11*6)-(F11*900)</f>
        <v/>
      </c>
      <c r="Q11" s="10">
        <f>P11*Assumptions!$B$10</f>
        <v/>
      </c>
      <c r="R11" s="12">
        <f>H11/Q11</f>
        <v/>
      </c>
      <c r="S11" s="7">
        <f>G11+H11/1000</f>
        <v/>
      </c>
    </row>
    <row r="12">
      <c r="A12" s="7">
        <f>'Raw Data'!A12</f>
        <v/>
      </c>
      <c r="B12" s="8">
        <f>'Raw Data'!B12</f>
        <v/>
      </c>
      <c r="C12" s="9">
        <f>'Raw Data'!D12</f>
        <v/>
      </c>
      <c r="D12" s="10">
        <f>'Raw Data'!C12</f>
        <v/>
      </c>
      <c r="E12" s="9">
        <f>'Raw Data'!E12</f>
        <v/>
      </c>
      <c r="F12" s="7">
        <f>'Raw Data'!G12</f>
        <v/>
      </c>
      <c r="G12" s="7">
        <f>'Raw Data'!J12</f>
        <v/>
      </c>
      <c r="H12" s="7">
        <f>'Raw Data'!K12</f>
        <v/>
      </c>
      <c r="I12" s="8">
        <f>(B12-MIN(B$2:B$21))/(MAX(B$2:B$21)-MIN(B$2:B$21))</f>
        <v/>
      </c>
      <c r="J12" s="8">
        <f>(C12-MIN(C$2:C$21))/(MAX(C$2:C$21)-MIN(C$2:C$21))</f>
        <v/>
      </c>
      <c r="K12" s="8">
        <f>(D12-MIN(D$2:D$21))/(MAX(D$2:D$21)-MIN(D$2:D$21))</f>
        <v/>
      </c>
      <c r="L12" s="8">
        <f>1-(F12-MIN(F$2:F$21))/(MAX(F$2:F$21)-MIN(F$2:F$21))</f>
        <v/>
      </c>
      <c r="M12" s="8">
        <f>1-(S12-MIN(S$2:S$21))/(MAX(S$2:S$21)-MIN(S$2:S$21))</f>
        <v/>
      </c>
      <c r="N12" s="8">
        <f>1-(E12-MIN(E$2:E$21))/(MAX(E$2:E$21)-MIN(E$2:E$21))</f>
        <v/>
      </c>
      <c r="O12" s="11">
        <f>(I12*Assumptions!$B$4+J12*Assumptions!$B$5+K12*Assumptions!$B$6+L12*Assumptions!$B$7+M12*Assumptions!$B$8+N12*Assumptions!$B$9)*100</f>
        <v/>
      </c>
      <c r="P12" s="10">
        <f>800000+(B12*15000)+(C12*8000)+(D12*6)-(F12*900)</f>
        <v/>
      </c>
      <c r="Q12" s="10">
        <f>P12*Assumptions!$B$10</f>
        <v/>
      </c>
      <c r="R12" s="12">
        <f>H12/Q12</f>
        <v/>
      </c>
      <c r="S12" s="7">
        <f>G12+H12/1000</f>
        <v/>
      </c>
    </row>
    <row r="13">
      <c r="A13" s="7">
        <f>'Raw Data'!A13</f>
        <v/>
      </c>
      <c r="B13" s="8">
        <f>'Raw Data'!B13</f>
        <v/>
      </c>
      <c r="C13" s="9">
        <f>'Raw Data'!D13</f>
        <v/>
      </c>
      <c r="D13" s="10">
        <f>'Raw Data'!C13</f>
        <v/>
      </c>
      <c r="E13" s="9">
        <f>'Raw Data'!E13</f>
        <v/>
      </c>
      <c r="F13" s="7">
        <f>'Raw Data'!G13</f>
        <v/>
      </c>
      <c r="G13" s="7">
        <f>'Raw Data'!J13</f>
        <v/>
      </c>
      <c r="H13" s="7">
        <f>'Raw Data'!K13</f>
        <v/>
      </c>
      <c r="I13" s="8">
        <f>(B13-MIN(B$2:B$21))/(MAX(B$2:B$21)-MIN(B$2:B$21))</f>
        <v/>
      </c>
      <c r="J13" s="8">
        <f>(C13-MIN(C$2:C$21))/(MAX(C$2:C$21)-MIN(C$2:C$21))</f>
        <v/>
      </c>
      <c r="K13" s="8">
        <f>(D13-MIN(D$2:D$21))/(MAX(D$2:D$21)-MIN(D$2:D$21))</f>
        <v/>
      </c>
      <c r="L13" s="8">
        <f>1-(F13-MIN(F$2:F$21))/(MAX(F$2:F$21)-MIN(F$2:F$21))</f>
        <v/>
      </c>
      <c r="M13" s="8">
        <f>1-(S13-MIN(S$2:S$21))/(MAX(S$2:S$21)-MIN(S$2:S$21))</f>
        <v/>
      </c>
      <c r="N13" s="8">
        <f>1-(E13-MIN(E$2:E$21))/(MAX(E$2:E$21)-MIN(E$2:E$21))</f>
        <v/>
      </c>
      <c r="O13" s="11">
        <f>(I13*Assumptions!$B$4+J13*Assumptions!$B$5+K13*Assumptions!$B$6+L13*Assumptions!$B$7+M13*Assumptions!$B$8+N13*Assumptions!$B$9)*100</f>
        <v/>
      </c>
      <c r="P13" s="10">
        <f>800000+(B13*15000)+(C13*8000)+(D13*6)-(F13*900)</f>
        <v/>
      </c>
      <c r="Q13" s="10">
        <f>P13*Assumptions!$B$10</f>
        <v/>
      </c>
      <c r="R13" s="12">
        <f>H13/Q13</f>
        <v/>
      </c>
      <c r="S13" s="7">
        <f>G13+H13/1000</f>
        <v/>
      </c>
    </row>
    <row r="14">
      <c r="A14" s="7">
        <f>'Raw Data'!A14</f>
        <v/>
      </c>
      <c r="B14" s="8">
        <f>'Raw Data'!B14</f>
        <v/>
      </c>
      <c r="C14" s="9">
        <f>'Raw Data'!D14</f>
        <v/>
      </c>
      <c r="D14" s="10">
        <f>'Raw Data'!C14</f>
        <v/>
      </c>
      <c r="E14" s="9">
        <f>'Raw Data'!E14</f>
        <v/>
      </c>
      <c r="F14" s="7">
        <f>'Raw Data'!G14</f>
        <v/>
      </c>
      <c r="G14" s="7">
        <f>'Raw Data'!J14</f>
        <v/>
      </c>
      <c r="H14" s="7">
        <f>'Raw Data'!K14</f>
        <v/>
      </c>
      <c r="I14" s="8">
        <f>(B14-MIN(B$2:B$21))/(MAX(B$2:B$21)-MIN(B$2:B$21))</f>
        <v/>
      </c>
      <c r="J14" s="8">
        <f>(C14-MIN(C$2:C$21))/(MAX(C$2:C$21)-MIN(C$2:C$21))</f>
        <v/>
      </c>
      <c r="K14" s="8">
        <f>(D14-MIN(D$2:D$21))/(MAX(D$2:D$21)-MIN(D$2:D$21))</f>
        <v/>
      </c>
      <c r="L14" s="8">
        <f>1-(F14-MIN(F$2:F$21))/(MAX(F$2:F$21)-MIN(F$2:F$21))</f>
        <v/>
      </c>
      <c r="M14" s="8">
        <f>1-(S14-MIN(S$2:S$21))/(MAX(S$2:S$21)-MIN(S$2:S$21))</f>
        <v/>
      </c>
      <c r="N14" s="8">
        <f>1-(E14-MIN(E$2:E$21))/(MAX(E$2:E$21)-MIN(E$2:E$21))</f>
        <v/>
      </c>
      <c r="O14" s="11">
        <f>(I14*Assumptions!$B$4+J14*Assumptions!$B$5+K14*Assumptions!$B$6+L14*Assumptions!$B$7+M14*Assumptions!$B$8+N14*Assumptions!$B$9)*100</f>
        <v/>
      </c>
      <c r="P14" s="10">
        <f>800000+(B14*15000)+(C14*8000)+(D14*6)-(F14*900)</f>
        <v/>
      </c>
      <c r="Q14" s="10">
        <f>P14*Assumptions!$B$10</f>
        <v/>
      </c>
      <c r="R14" s="12">
        <f>H14/Q14</f>
        <v/>
      </c>
      <c r="S14" s="7">
        <f>G14+H14/1000</f>
        <v/>
      </c>
    </row>
    <row r="15">
      <c r="A15" s="7">
        <f>'Raw Data'!A15</f>
        <v/>
      </c>
      <c r="B15" s="8">
        <f>'Raw Data'!B15</f>
        <v/>
      </c>
      <c r="C15" s="9">
        <f>'Raw Data'!D15</f>
        <v/>
      </c>
      <c r="D15" s="10">
        <f>'Raw Data'!C15</f>
        <v/>
      </c>
      <c r="E15" s="9">
        <f>'Raw Data'!E15</f>
        <v/>
      </c>
      <c r="F15" s="7">
        <f>'Raw Data'!G15</f>
        <v/>
      </c>
      <c r="G15" s="7">
        <f>'Raw Data'!J15</f>
        <v/>
      </c>
      <c r="H15" s="7">
        <f>'Raw Data'!K15</f>
        <v/>
      </c>
      <c r="I15" s="8">
        <f>(B15-MIN(B$2:B$21))/(MAX(B$2:B$21)-MIN(B$2:B$21))</f>
        <v/>
      </c>
      <c r="J15" s="8">
        <f>(C15-MIN(C$2:C$21))/(MAX(C$2:C$21)-MIN(C$2:C$21))</f>
        <v/>
      </c>
      <c r="K15" s="8">
        <f>(D15-MIN(D$2:D$21))/(MAX(D$2:D$21)-MIN(D$2:D$21))</f>
        <v/>
      </c>
      <c r="L15" s="8">
        <f>1-(F15-MIN(F$2:F$21))/(MAX(F$2:F$21)-MIN(F$2:F$21))</f>
        <v/>
      </c>
      <c r="M15" s="8">
        <f>1-(S15-MIN(S$2:S$21))/(MAX(S$2:S$21)-MIN(S$2:S$21))</f>
        <v/>
      </c>
      <c r="N15" s="8">
        <f>1-(E15-MIN(E$2:E$21))/(MAX(E$2:E$21)-MIN(E$2:E$21))</f>
        <v/>
      </c>
      <c r="O15" s="11">
        <f>(I15*Assumptions!$B$4+J15*Assumptions!$B$5+K15*Assumptions!$B$6+L15*Assumptions!$B$7+M15*Assumptions!$B$8+N15*Assumptions!$B$9)*100</f>
        <v/>
      </c>
      <c r="P15" s="10">
        <f>800000+(B15*15000)+(C15*8000)+(D15*6)-(F15*900)</f>
        <v/>
      </c>
      <c r="Q15" s="10">
        <f>P15*Assumptions!$B$10</f>
        <v/>
      </c>
      <c r="R15" s="12">
        <f>H15/Q15</f>
        <v/>
      </c>
      <c r="S15" s="7">
        <f>G15+H15/1000</f>
        <v/>
      </c>
    </row>
    <row r="16">
      <c r="A16" s="7">
        <f>'Raw Data'!A16</f>
        <v/>
      </c>
      <c r="B16" s="8">
        <f>'Raw Data'!B16</f>
        <v/>
      </c>
      <c r="C16" s="9">
        <f>'Raw Data'!D16</f>
        <v/>
      </c>
      <c r="D16" s="10">
        <f>'Raw Data'!C16</f>
        <v/>
      </c>
      <c r="E16" s="9">
        <f>'Raw Data'!E16</f>
        <v/>
      </c>
      <c r="F16" s="7">
        <f>'Raw Data'!G16</f>
        <v/>
      </c>
      <c r="G16" s="7">
        <f>'Raw Data'!J16</f>
        <v/>
      </c>
      <c r="H16" s="7">
        <f>'Raw Data'!K16</f>
        <v/>
      </c>
      <c r="I16" s="8">
        <f>(B16-MIN(B$2:B$21))/(MAX(B$2:B$21)-MIN(B$2:B$21))</f>
        <v/>
      </c>
      <c r="J16" s="8">
        <f>(C16-MIN(C$2:C$21))/(MAX(C$2:C$21)-MIN(C$2:C$21))</f>
        <v/>
      </c>
      <c r="K16" s="8">
        <f>(D16-MIN(D$2:D$21))/(MAX(D$2:D$21)-MIN(D$2:D$21))</f>
        <v/>
      </c>
      <c r="L16" s="8">
        <f>1-(F16-MIN(F$2:F$21))/(MAX(F$2:F$21)-MIN(F$2:F$21))</f>
        <v/>
      </c>
      <c r="M16" s="8">
        <f>1-(S16-MIN(S$2:S$21))/(MAX(S$2:S$21)-MIN(S$2:S$21))</f>
        <v/>
      </c>
      <c r="N16" s="8">
        <f>1-(E16-MIN(E$2:E$21))/(MAX(E$2:E$21)-MIN(E$2:E$21))</f>
        <v/>
      </c>
      <c r="O16" s="11">
        <f>(I16*Assumptions!$B$4+J16*Assumptions!$B$5+K16*Assumptions!$B$6+L16*Assumptions!$B$7+M16*Assumptions!$B$8+N16*Assumptions!$B$9)*100</f>
        <v/>
      </c>
      <c r="P16" s="10">
        <f>800000+(B16*15000)+(C16*8000)+(D16*6)-(F16*900)</f>
        <v/>
      </c>
      <c r="Q16" s="10">
        <f>P16*Assumptions!$B$10</f>
        <v/>
      </c>
      <c r="R16" s="12">
        <f>H16/Q16</f>
        <v/>
      </c>
      <c r="S16" s="7">
        <f>G16+H16/1000</f>
        <v/>
      </c>
    </row>
    <row r="17">
      <c r="A17" s="7">
        <f>'Raw Data'!A17</f>
        <v/>
      </c>
      <c r="B17" s="8">
        <f>'Raw Data'!B17</f>
        <v/>
      </c>
      <c r="C17" s="9">
        <f>'Raw Data'!D17</f>
        <v/>
      </c>
      <c r="D17" s="10">
        <f>'Raw Data'!C17</f>
        <v/>
      </c>
      <c r="E17" s="9">
        <f>'Raw Data'!E17</f>
        <v/>
      </c>
      <c r="F17" s="7">
        <f>'Raw Data'!G17</f>
        <v/>
      </c>
      <c r="G17" s="7">
        <f>'Raw Data'!J17</f>
        <v/>
      </c>
      <c r="H17" s="7">
        <f>'Raw Data'!K17</f>
        <v/>
      </c>
      <c r="I17" s="8">
        <f>(B17-MIN(B$2:B$21))/(MAX(B$2:B$21)-MIN(B$2:B$21))</f>
        <v/>
      </c>
      <c r="J17" s="8">
        <f>(C17-MIN(C$2:C$21))/(MAX(C$2:C$21)-MIN(C$2:C$21))</f>
        <v/>
      </c>
      <c r="K17" s="8">
        <f>(D17-MIN(D$2:D$21))/(MAX(D$2:D$21)-MIN(D$2:D$21))</f>
        <v/>
      </c>
      <c r="L17" s="8">
        <f>1-(F17-MIN(F$2:F$21))/(MAX(F$2:F$21)-MIN(F$2:F$21))</f>
        <v/>
      </c>
      <c r="M17" s="8">
        <f>1-(S17-MIN(S$2:S$21))/(MAX(S$2:S$21)-MIN(S$2:S$21))</f>
        <v/>
      </c>
      <c r="N17" s="8">
        <f>1-(E17-MIN(E$2:E$21))/(MAX(E$2:E$21)-MIN(E$2:E$21))</f>
        <v/>
      </c>
      <c r="O17" s="11">
        <f>(I17*Assumptions!$B$4+J17*Assumptions!$B$5+K17*Assumptions!$B$6+L17*Assumptions!$B$7+M17*Assumptions!$B$8+N17*Assumptions!$B$9)*100</f>
        <v/>
      </c>
      <c r="P17" s="10">
        <f>800000+(B17*15000)+(C17*8000)+(D17*6)-(F17*900)</f>
        <v/>
      </c>
      <c r="Q17" s="10">
        <f>P17*Assumptions!$B$10</f>
        <v/>
      </c>
      <c r="R17" s="12">
        <f>H17/Q17</f>
        <v/>
      </c>
      <c r="S17" s="7">
        <f>G17+H17/1000</f>
        <v/>
      </c>
    </row>
    <row r="18">
      <c r="A18" s="7">
        <f>'Raw Data'!A18</f>
        <v/>
      </c>
      <c r="B18" s="8">
        <f>'Raw Data'!B18</f>
        <v/>
      </c>
      <c r="C18" s="9">
        <f>'Raw Data'!D18</f>
        <v/>
      </c>
      <c r="D18" s="10">
        <f>'Raw Data'!C18</f>
        <v/>
      </c>
      <c r="E18" s="9">
        <f>'Raw Data'!E18</f>
        <v/>
      </c>
      <c r="F18" s="7">
        <f>'Raw Data'!G18</f>
        <v/>
      </c>
      <c r="G18" s="7">
        <f>'Raw Data'!J18</f>
        <v/>
      </c>
      <c r="H18" s="7">
        <f>'Raw Data'!K18</f>
        <v/>
      </c>
      <c r="I18" s="8">
        <f>(B18-MIN(B$2:B$21))/(MAX(B$2:B$21)-MIN(B$2:B$21))</f>
        <v/>
      </c>
      <c r="J18" s="8">
        <f>(C18-MIN(C$2:C$21))/(MAX(C$2:C$21)-MIN(C$2:C$21))</f>
        <v/>
      </c>
      <c r="K18" s="8">
        <f>(D18-MIN(D$2:D$21))/(MAX(D$2:D$21)-MIN(D$2:D$21))</f>
        <v/>
      </c>
      <c r="L18" s="8">
        <f>1-(F18-MIN(F$2:F$21))/(MAX(F$2:F$21)-MIN(F$2:F$21))</f>
        <v/>
      </c>
      <c r="M18" s="8">
        <f>1-(S18-MIN(S$2:S$21))/(MAX(S$2:S$21)-MIN(S$2:S$21))</f>
        <v/>
      </c>
      <c r="N18" s="8">
        <f>1-(E18-MIN(E$2:E$21))/(MAX(E$2:E$21)-MIN(E$2:E$21))</f>
        <v/>
      </c>
      <c r="O18" s="11">
        <f>(I18*Assumptions!$B$4+J18*Assumptions!$B$5+K18*Assumptions!$B$6+L18*Assumptions!$B$7+M18*Assumptions!$B$8+N18*Assumptions!$B$9)*100</f>
        <v/>
      </c>
      <c r="P18" s="10">
        <f>800000+(B18*15000)+(C18*8000)+(D18*6)-(F18*900)</f>
        <v/>
      </c>
      <c r="Q18" s="10">
        <f>P18*Assumptions!$B$10</f>
        <v/>
      </c>
      <c r="R18" s="12">
        <f>H18/Q18</f>
        <v/>
      </c>
      <c r="S18" s="7">
        <f>G18+H18/1000</f>
        <v/>
      </c>
    </row>
    <row r="19">
      <c r="A19" s="7">
        <f>'Raw Data'!A19</f>
        <v/>
      </c>
      <c r="B19" s="8">
        <f>'Raw Data'!B19</f>
        <v/>
      </c>
      <c r="C19" s="9">
        <f>'Raw Data'!D19</f>
        <v/>
      </c>
      <c r="D19" s="10">
        <f>'Raw Data'!C19</f>
        <v/>
      </c>
      <c r="E19" s="9">
        <f>'Raw Data'!E19</f>
        <v/>
      </c>
      <c r="F19" s="7">
        <f>'Raw Data'!G19</f>
        <v/>
      </c>
      <c r="G19" s="7">
        <f>'Raw Data'!J19</f>
        <v/>
      </c>
      <c r="H19" s="7">
        <f>'Raw Data'!K19</f>
        <v/>
      </c>
      <c r="I19" s="8">
        <f>(B19-MIN(B$2:B$21))/(MAX(B$2:B$21)-MIN(B$2:B$21))</f>
        <v/>
      </c>
      <c r="J19" s="8">
        <f>(C19-MIN(C$2:C$21))/(MAX(C$2:C$21)-MIN(C$2:C$21))</f>
        <v/>
      </c>
      <c r="K19" s="8">
        <f>(D19-MIN(D$2:D$21))/(MAX(D$2:D$21)-MIN(D$2:D$21))</f>
        <v/>
      </c>
      <c r="L19" s="8">
        <f>1-(F19-MIN(F$2:F$21))/(MAX(F$2:F$21)-MIN(F$2:F$21))</f>
        <v/>
      </c>
      <c r="M19" s="8">
        <f>1-(S19-MIN(S$2:S$21))/(MAX(S$2:S$21)-MIN(S$2:S$21))</f>
        <v/>
      </c>
      <c r="N19" s="8">
        <f>1-(E19-MIN(E$2:E$21))/(MAX(E$2:E$21)-MIN(E$2:E$21))</f>
        <v/>
      </c>
      <c r="O19" s="11">
        <f>(I19*Assumptions!$B$4+J19*Assumptions!$B$5+K19*Assumptions!$B$6+L19*Assumptions!$B$7+M19*Assumptions!$B$8+N19*Assumptions!$B$9)*100</f>
        <v/>
      </c>
      <c r="P19" s="10">
        <f>800000+(B19*15000)+(C19*8000)+(D19*6)-(F19*900)</f>
        <v/>
      </c>
      <c r="Q19" s="10">
        <f>P19*Assumptions!$B$10</f>
        <v/>
      </c>
      <c r="R19" s="12">
        <f>H19/Q19</f>
        <v/>
      </c>
      <c r="S19" s="7">
        <f>G19+H19/1000</f>
        <v/>
      </c>
    </row>
    <row r="20">
      <c r="A20" s="7">
        <f>'Raw Data'!A20</f>
        <v/>
      </c>
      <c r="B20" s="8">
        <f>'Raw Data'!B20</f>
        <v/>
      </c>
      <c r="C20" s="9">
        <f>'Raw Data'!D20</f>
        <v/>
      </c>
      <c r="D20" s="10">
        <f>'Raw Data'!C20</f>
        <v/>
      </c>
      <c r="E20" s="9">
        <f>'Raw Data'!E20</f>
        <v/>
      </c>
      <c r="F20" s="7">
        <f>'Raw Data'!G20</f>
        <v/>
      </c>
      <c r="G20" s="7">
        <f>'Raw Data'!J20</f>
        <v/>
      </c>
      <c r="H20" s="7">
        <f>'Raw Data'!K20</f>
        <v/>
      </c>
      <c r="I20" s="8">
        <f>(B20-MIN(B$2:B$21))/(MAX(B$2:B$21)-MIN(B$2:B$21))</f>
        <v/>
      </c>
      <c r="J20" s="8">
        <f>(C20-MIN(C$2:C$21))/(MAX(C$2:C$21)-MIN(C$2:C$21))</f>
        <v/>
      </c>
      <c r="K20" s="8">
        <f>(D20-MIN(D$2:D$21))/(MAX(D$2:D$21)-MIN(D$2:D$21))</f>
        <v/>
      </c>
      <c r="L20" s="8">
        <f>1-(F20-MIN(F$2:F$21))/(MAX(F$2:F$21)-MIN(F$2:F$21))</f>
        <v/>
      </c>
      <c r="M20" s="8">
        <f>1-(S20-MIN(S$2:S$21))/(MAX(S$2:S$21)-MIN(S$2:S$21))</f>
        <v/>
      </c>
      <c r="N20" s="8">
        <f>1-(E20-MIN(E$2:E$21))/(MAX(E$2:E$21)-MIN(E$2:E$21))</f>
        <v/>
      </c>
      <c r="O20" s="11">
        <f>(I20*Assumptions!$B$4+J20*Assumptions!$B$5+K20*Assumptions!$B$6+L20*Assumptions!$B$7+M20*Assumptions!$B$8+N20*Assumptions!$B$9)*100</f>
        <v/>
      </c>
      <c r="P20" s="10">
        <f>800000+(B20*15000)+(C20*8000)+(D20*6)-(F20*900)</f>
        <v/>
      </c>
      <c r="Q20" s="10">
        <f>P20*Assumptions!$B$10</f>
        <v/>
      </c>
      <c r="R20" s="12">
        <f>H20/Q20</f>
        <v/>
      </c>
      <c r="S20" s="7">
        <f>G20+H20/1000</f>
        <v/>
      </c>
    </row>
    <row r="21">
      <c r="A21" s="7">
        <f>'Raw Data'!A21</f>
        <v/>
      </c>
      <c r="B21" s="8">
        <f>'Raw Data'!B21</f>
        <v/>
      </c>
      <c r="C21" s="9">
        <f>'Raw Data'!D21</f>
        <v/>
      </c>
      <c r="D21" s="10">
        <f>'Raw Data'!C21</f>
        <v/>
      </c>
      <c r="E21" s="9">
        <f>'Raw Data'!E21</f>
        <v/>
      </c>
      <c r="F21" s="7">
        <f>'Raw Data'!G21</f>
        <v/>
      </c>
      <c r="G21" s="7">
        <f>'Raw Data'!J21</f>
        <v/>
      </c>
      <c r="H21" s="7">
        <f>'Raw Data'!K21</f>
        <v/>
      </c>
      <c r="I21" s="8">
        <f>(B21-MIN(B$2:B$21))/(MAX(B$2:B$21)-MIN(B$2:B$21))</f>
        <v/>
      </c>
      <c r="J21" s="8">
        <f>(C21-MIN(C$2:C$21))/(MAX(C$2:C$21)-MIN(C$2:C$21))</f>
        <v/>
      </c>
      <c r="K21" s="8">
        <f>(D21-MIN(D$2:D$21))/(MAX(D$2:D$21)-MIN(D$2:D$21))</f>
        <v/>
      </c>
      <c r="L21" s="8">
        <f>1-(F21-MIN(F$2:F$21))/(MAX(F$2:F$21)-MIN(F$2:F$21))</f>
        <v/>
      </c>
      <c r="M21" s="8">
        <f>1-(S21-MIN(S$2:S$21))/(MAX(S$2:S$21)-MIN(S$2:S$21))</f>
        <v/>
      </c>
      <c r="N21" s="8">
        <f>1-(E21-MIN(E$2:E$21))/(MAX(E$2:E$21)-MIN(E$2:E$21))</f>
        <v/>
      </c>
      <c r="O21" s="11">
        <f>(I21*Assumptions!$B$4+J21*Assumptions!$B$5+K21*Assumptions!$B$6+L21*Assumptions!$B$7+M21*Assumptions!$B$8+N21*Assumptions!$B$9)*100</f>
        <v/>
      </c>
      <c r="P21" s="10">
        <f>800000+(B21*15000)+(C21*8000)+(D21*6)-(F21*900)</f>
        <v/>
      </c>
      <c r="Q21" s="10">
        <f>P21*Assumptions!$B$10</f>
        <v/>
      </c>
      <c r="R21" s="12">
        <f>H21/Q21</f>
        <v/>
      </c>
      <c r="S21" s="7">
        <f>G21+H21/1000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2026-07-27T11:58:11Z</dcterms:created>
  <dcterms:modified xsi:type="dcterms:W3CDTF">2026-07-27T11:58:11Z</dcterms:modified>
</cp:coreProperties>
</file>